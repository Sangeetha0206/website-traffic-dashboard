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35358db0bf56d5/Desktop/"/>
    </mc:Choice>
  </mc:AlternateContent>
  <xr:revisionPtr revIDLastSave="988" documentId="8_{7070C73C-DDDC-4BBC-94EF-C8657BCFC50F}" xr6:coauthVersionLast="47" xr6:coauthVersionMax="47" xr10:uidLastSave="{504866CC-D03F-414B-89A1-4D791F175A05}"/>
  <bookViews>
    <workbookView xWindow="11424" yWindow="0" windowWidth="11712" windowHeight="13056" firstSheet="6" activeTab="8" xr2:uid="{AA80284D-840C-40C7-9E86-E3D773C9410E}"/>
  </bookViews>
  <sheets>
    <sheet name="Pivot 1" sheetId="4" r:id="rId1"/>
    <sheet name="Pivot 2" sheetId="5" r:id="rId2"/>
    <sheet name="Pivot 3" sheetId="6" r:id="rId3"/>
    <sheet name="Pivot 4" sheetId="7" r:id="rId4"/>
    <sheet name="Line 1" sheetId="9" r:id="rId5"/>
    <sheet name="Col 2" sheetId="10" r:id="rId6"/>
    <sheet name="Bar 1" sheetId="11" r:id="rId7"/>
    <sheet name="Sheet1" sheetId="14" r:id="rId8"/>
    <sheet name="Dashboard" sheetId="13" r:id="rId9"/>
    <sheet name="Bar 2" sheetId="12" r:id="rId10"/>
    <sheet name="traffic_data" sheetId="1" r:id="rId11"/>
    <sheet name="KPI" sheetId="2" r:id="rId12"/>
  </sheets>
  <calcPr calcId="191029" calcCompleted="0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B2" i="2"/>
  <c r="B5" i="2"/>
  <c r="B4" i="2"/>
  <c r="B3" i="2"/>
  <c r="E96" i="2"/>
  <c r="E96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<sst xmlns="http://schemas.openxmlformats.org/spreadsheetml/2006/main" count="87" uniqueCount="30">
  <si>
    <t>date</t>
  </si>
  <si>
    <t>source</t>
  </si>
  <si>
    <t>users</t>
  </si>
  <si>
    <t>sessions</t>
  </si>
  <si>
    <t>pageviews</t>
  </si>
  <si>
    <t>bounce_rate</t>
  </si>
  <si>
    <t>avg_session_duration</t>
  </si>
  <si>
    <t>country</t>
  </si>
  <si>
    <t>page</t>
  </si>
  <si>
    <t>Organic</t>
  </si>
  <si>
    <t>India</t>
  </si>
  <si>
    <t>Home</t>
  </si>
  <si>
    <t>Direct</t>
  </si>
  <si>
    <t>About</t>
  </si>
  <si>
    <t>Social</t>
  </si>
  <si>
    <t>USA</t>
  </si>
  <si>
    <t>Blog</t>
  </si>
  <si>
    <t>UK</t>
  </si>
  <si>
    <t>Contact</t>
  </si>
  <si>
    <t>Total User</t>
  </si>
  <si>
    <t>Total Sessions</t>
  </si>
  <si>
    <t>Avg Session Duration</t>
  </si>
  <si>
    <t>Avg Bounce Rate</t>
  </si>
  <si>
    <t>A</t>
  </si>
  <si>
    <t>B</t>
  </si>
  <si>
    <t>Row Labels</t>
  </si>
  <si>
    <t>Grand Total</t>
  </si>
  <si>
    <t>Sum of users</t>
  </si>
  <si>
    <t>Sum of pageviews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</si>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</sst>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vertical="center"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0" fontId="16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left" vertical="center" textRotation="0" wrapText="0" indent="1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[Website_Traffic.xlsx]Pivot 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1'!$A$4:$A$9</c:f>
              <c:strCache>
                <c:ptCount val="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</c:strCache>
            </c:strRef>
          </c:cat>
          <c:val>
            <c:numRef>
              <c:f>'Pivot 1'!$B$4:$B$9</c:f>
              <c:numCache>
                <c:formatCode>General</c:formatCode>
                <c:ptCount val="5"/>
                <c:pt idx="0">
                  <c:v>200</c:v>
                </c:pt>
                <c:pt idx="1">
                  <c:v>210</c:v>
                </c:pt>
                <c:pt idx="2">
                  <c:v>260</c:v>
                </c:pt>
                <c:pt idx="3">
                  <c:v>70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5-438D-BA55-99EF3B991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073215"/>
        <c:axId val="1912084735"/>
      </c:barChart>
      <c:catAx>
        <c:axId val="19120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84735"/>
        <c:crosses val="autoZero"/>
        <c:auto val="1"/>
        <c:lblAlgn val="ctr"/>
        <c:lblOffset val="100"/>
        <c:noMultiLvlLbl val="0"/>
      </c:catAx>
      <c:valAx>
        <c:axId val="19120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7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[Website_Traffic.xlsx]Pivot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2'!$A$4:$A$7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'Pivot 2'!$B$4:$B$7</c:f>
              <c:numCache>
                <c:formatCode>General</c:formatCode>
                <c:ptCount val="3"/>
                <c:pt idx="0">
                  <c:v>270</c:v>
                </c:pt>
                <c:pt idx="1">
                  <c:v>640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D-40C3-A2E9-84679ADBD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394399"/>
        <c:axId val="1422389119"/>
      </c:barChart>
      <c:catAx>
        <c:axId val="142239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89119"/>
        <c:crosses val="autoZero"/>
        <c:auto val="1"/>
        <c:lblAlgn val="ctr"/>
        <c:lblOffset val="100"/>
        <c:noMultiLvlLbl val="0"/>
      </c:catAx>
      <c:valAx>
        <c:axId val="14223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9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[Website_Traffic.xlsx]Pivot 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3'!$A$4:$A$7</c:f>
              <c:strCache>
                <c:ptCount val="3"/>
                <c:pt idx="0">
                  <c:v>India</c:v>
                </c:pt>
                <c:pt idx="1">
                  <c:v>UK</c:v>
                </c:pt>
                <c:pt idx="2">
                  <c:v>USA</c:v>
                </c:pt>
              </c:strCache>
            </c:strRef>
          </c:cat>
          <c:val>
            <c:numRef>
              <c:f>'Pivot 3'!$B$4:$B$7</c:f>
              <c:numCache>
                <c:formatCode>General</c:formatCode>
                <c:ptCount val="3"/>
                <c:pt idx="0">
                  <c:v>720</c:v>
                </c:pt>
                <c:pt idx="1">
                  <c:v>190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1-4438-9589-58ACD6097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090975"/>
        <c:axId val="1912082815"/>
      </c:barChart>
      <c:catAx>
        <c:axId val="191209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82815"/>
        <c:crosses val="autoZero"/>
        <c:auto val="1"/>
        <c:lblAlgn val="ctr"/>
        <c:lblOffset val="100"/>
        <c:noMultiLvlLbl val="0"/>
      </c:catAx>
      <c:valAx>
        <c:axId val="191208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9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[Website_Traffic.xlsx]Pivot 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4'!$A$4:$A$8</c:f>
              <c:strCache>
                <c:ptCount val="4"/>
                <c:pt idx="0">
                  <c:v>About</c:v>
                </c:pt>
                <c:pt idx="1">
                  <c:v>Blog</c:v>
                </c:pt>
                <c:pt idx="2">
                  <c:v>Contact</c:v>
                </c:pt>
                <c:pt idx="3">
                  <c:v>Home</c:v>
                </c:pt>
              </c:strCache>
            </c:strRef>
          </c:cat>
          <c:val>
            <c:numRef>
              <c:f>'Pivot 4'!$B$4:$B$8</c:f>
              <c:numCache>
                <c:formatCode>General</c:formatCode>
                <c:ptCount val="4"/>
                <c:pt idx="0">
                  <c:v>600</c:v>
                </c:pt>
                <c:pt idx="1">
                  <c:v>400</c:v>
                </c:pt>
                <c:pt idx="2">
                  <c:v>300</c:v>
                </c:pt>
                <c:pt idx="3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F-42CC-804E-FD7713DC6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921183"/>
        <c:axId val="1457937983"/>
      </c:barChart>
      <c:catAx>
        <c:axId val="145792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937983"/>
        <c:crosses val="autoZero"/>
        <c:auto val="1"/>
        <c:lblAlgn val="ctr"/>
        <c:lblOffset val="100"/>
        <c:noMultiLvlLbl val="0"/>
      </c:catAx>
      <c:valAx>
        <c:axId val="14579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92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[Website_Traffic.xlsx]Line 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1'!$B$1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1'!$A$2:$A$7</c:f>
              <c:strCache>
                <c:ptCount val="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</c:strCache>
            </c:strRef>
          </c:cat>
          <c:val>
            <c:numRef>
              <c:f>'Line 1'!$B$2:$B$7</c:f>
              <c:numCache>
                <c:formatCode>General</c:formatCode>
                <c:ptCount val="5"/>
                <c:pt idx="0">
                  <c:v>200</c:v>
                </c:pt>
                <c:pt idx="1">
                  <c:v>210</c:v>
                </c:pt>
                <c:pt idx="2">
                  <c:v>260</c:v>
                </c:pt>
                <c:pt idx="3">
                  <c:v>70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F-4393-8A05-293E85D54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7425775"/>
        <c:axId val="1997413295"/>
      </c:lineChart>
      <c:catAx>
        <c:axId val="199742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13295"/>
        <c:crosses val="autoZero"/>
        <c:auto val="1"/>
        <c:lblAlgn val="ctr"/>
        <c:lblOffset val="100"/>
        <c:noMultiLvlLbl val="0"/>
      </c:catAx>
      <c:valAx>
        <c:axId val="199741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2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[Website_Traffic.xlsx]Col 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'Col 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'Col 2'!$A$4:$A$7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'Col 2'!$B$4:$B$7</c:f>
              <c:numCache>
                <c:formatCode>General</c:formatCode>
                <c:ptCount val="3"/>
                <c:pt idx="0">
                  <c:v>270</c:v>
                </c:pt>
                <c:pt idx="1">
                  <c:v>640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17-47BD-9EFE-433B4E724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061695"/>
        <c:axId val="1912054495"/>
      </c:lineChart>
      <c:catAx>
        <c:axId val="19120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54495"/>
        <c:crosses val="autoZero"/>
        <c:auto val="1"/>
        <c:lblAlgn val="ctr"/>
        <c:lblOffset val="100"/>
        <c:noMultiLvlLbl val="0"/>
      </c:catAx>
      <c:valAx>
        <c:axId val="19120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6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[Website_Traffic.xlsx]Bar 1!PivotTable8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1'!$A$4:$A$7</c:f>
              <c:strCache>
                <c:ptCount val="3"/>
                <c:pt idx="0">
                  <c:v>India</c:v>
                </c:pt>
                <c:pt idx="1">
                  <c:v>UK</c:v>
                </c:pt>
                <c:pt idx="2">
                  <c:v>USA</c:v>
                </c:pt>
              </c:strCache>
            </c:strRef>
          </c:cat>
          <c:val>
            <c:numRef>
              <c:f>'Bar 1'!$B$4:$B$7</c:f>
              <c:numCache>
                <c:formatCode>General</c:formatCode>
                <c:ptCount val="3"/>
                <c:pt idx="0">
                  <c:v>720</c:v>
                </c:pt>
                <c:pt idx="1">
                  <c:v>190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4-4E84-BE5D-6769CC8CB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4600927"/>
        <c:axId val="1914602847"/>
      </c:barChart>
      <c:catAx>
        <c:axId val="191460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02847"/>
        <c:crosses val="autoZero"/>
        <c:auto val="1"/>
        <c:lblAlgn val="ctr"/>
        <c:lblOffset val="100"/>
        <c:noMultiLvlLbl val="0"/>
      </c:catAx>
      <c:valAx>
        <c:axId val="191460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0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[Website_Traffic.xlsx]Pivot 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Traffic by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  <a:sp3d/>
          </c:spPr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2'!$A$4:$A$7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'Pivot 2'!$B$4:$B$7</c:f>
              <c:numCache>
                <c:formatCode>General</c:formatCode>
                <c:ptCount val="3"/>
                <c:pt idx="0">
                  <c:v>270</c:v>
                </c:pt>
                <c:pt idx="1">
                  <c:v>640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F-476F-A7CF-4B4F23044E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22394399"/>
        <c:axId val="1422389119"/>
        <c:axId val="867526000"/>
      </c:line3DChart>
      <c:catAx>
        <c:axId val="142239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89119"/>
        <c:crosses val="autoZero"/>
        <c:auto val="1"/>
        <c:lblAlgn val="ctr"/>
        <c:lblOffset val="100"/>
        <c:noMultiLvlLbl val="0"/>
      </c:catAx>
      <c:valAx>
        <c:axId val="1422389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94399"/>
        <c:crosses val="autoZero"/>
        <c:crossBetween val="between"/>
      </c:valAx>
      <c:serAx>
        <c:axId val="8675260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89119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glow rad="139700">
        <a:schemeClr val="accent1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[Website_Traffic.xlsx]Pivot 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500" b="1" i="0" u="none" strike="noStrike" kern="1200" cap="all" spc="100" normalizeH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Users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500" b="1" i="0" u="none" strike="noStrike" kern="1200" cap="all" spc="100" normalizeH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3'!$A$4:$A$7</c:f>
              <c:strCache>
                <c:ptCount val="3"/>
                <c:pt idx="0">
                  <c:v>India</c:v>
                </c:pt>
                <c:pt idx="1">
                  <c:v>UK</c:v>
                </c:pt>
                <c:pt idx="2">
                  <c:v>USA</c:v>
                </c:pt>
              </c:strCache>
            </c:strRef>
          </c:cat>
          <c:val>
            <c:numRef>
              <c:f>'Pivot 3'!$B$4:$B$7</c:f>
              <c:numCache>
                <c:formatCode>General</c:formatCode>
                <c:ptCount val="3"/>
                <c:pt idx="0">
                  <c:v>720</c:v>
                </c:pt>
                <c:pt idx="1">
                  <c:v>190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7-47BE-A40F-A103A9B846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1912090975"/>
        <c:axId val="1912082815"/>
      </c:barChart>
      <c:catAx>
        <c:axId val="19120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82815"/>
        <c:crosses val="autoZero"/>
        <c:auto val="1"/>
        <c:lblAlgn val="ctr"/>
        <c:lblOffset val="100"/>
        <c:noMultiLvlLbl val="0"/>
      </c:catAx>
      <c:valAx>
        <c:axId val="191208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9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glow rad="139700">
        <a:schemeClr val="accent1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[Website_Traffic.xlsx]Pivot 4!PivotTable4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Top Pages by Users</a:t>
            </a:r>
            <a:endParaRPr lang="en-US"/>
          </a:p>
        </c:rich>
      </c:tx>
      <c:layout>
        <c:manualLayout>
          <c:xMode val="edge"/>
          <c:yMode val="edge"/>
          <c:x val="0.39518857219082199"/>
          <c:y val="1.863781083502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>
                <a:shade val="58000"/>
              </a:schemeClr>
            </a:fgClr>
            <a:bgClr>
              <a:schemeClr val="lt1"/>
            </a:bgClr>
          </a:pattFill>
          <a:ln>
            <a:noFill/>
          </a:ln>
          <a:effectLst/>
        </c:spP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pattFill prst="ltUpDiag">
            <a:fgClr>
              <a:schemeClr val="accent1">
                <a:shade val="86000"/>
              </a:schemeClr>
            </a:fgClr>
            <a:bgClr>
              <a:schemeClr val="lt1"/>
            </a:bgClr>
          </a:pattFill>
          <a:ln>
            <a:noFill/>
          </a:ln>
          <a:effectLst/>
        </c:spP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pattFill prst="ltUpDiag">
            <a:fgClr>
              <a:schemeClr val="accent1">
                <a:tint val="86000"/>
              </a:schemeClr>
            </a:fgClr>
            <a:bgClr>
              <a:schemeClr val="lt1"/>
            </a:bgClr>
          </a:pattFill>
          <a:ln>
            <a:noFill/>
          </a:ln>
          <a:effectLst/>
        </c:spP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pattFill prst="ltUpDiag">
            <a:fgClr>
              <a:schemeClr val="accent1">
                <a:tint val="58000"/>
              </a:schemeClr>
            </a:fgClr>
            <a:bgClr>
              <a:schemeClr val="lt1"/>
            </a:bgClr>
          </a:pattFill>
          <a:ln>
            <a:noFill/>
          </a:ln>
          <a:effectLst/>
        </c:spP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>
                    <a:shade val="58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809-408D-A218-4472681B8B3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1">
                    <a:shade val="86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09-408D-A218-4472681B8B3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1">
                    <a:tint val="86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809-408D-A218-4472681B8B3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1">
                    <a:tint val="58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09-408D-A218-4472681B8B3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1">
                    <a:tint val="30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809-408D-A218-4472681B8B32}"/>
              </c:ext>
            </c:extLst>
          </c:dPt>
          <c:dLbls>
            <c:dLbl>
              <c:idx val="0"/>
              <c:spPr>
                <a:solidFill>
                  <a:schemeClr val="accent1">
                    <a:alpha val="7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809-408D-A218-4472681B8B32}"/>
                </c:ext>
              </c:extLst>
            </c:dLbl>
            <c:dLbl>
              <c:idx val="1"/>
              <c:spPr>
                <a:solidFill>
                  <a:schemeClr val="accent1">
                    <a:alpha val="7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809-408D-A218-4472681B8B32}"/>
                </c:ext>
              </c:extLst>
            </c:dLbl>
            <c:dLbl>
              <c:idx val="2"/>
              <c:spPr>
                <a:solidFill>
                  <a:schemeClr val="accent1">
                    <a:alpha val="7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809-408D-A218-4472681B8B32}"/>
                </c:ext>
              </c:extLst>
            </c:dLbl>
            <c:dLbl>
              <c:idx val="3"/>
              <c:spPr>
                <a:solidFill>
                  <a:schemeClr val="accent1">
                    <a:alpha val="7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809-408D-A218-4472681B8B32}"/>
                </c:ext>
              </c:extLst>
            </c:dLbl>
            <c:dLbl>
              <c:idx val="4"/>
              <c:spPr>
                <a:solidFill>
                  <a:schemeClr val="accent1">
                    <a:alpha val="7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809-408D-A218-4472681B8B32}"/>
                </c:ext>
              </c:extLst>
            </c:dLbl>
            <c:spPr>
              <a:solidFill>
                <a:schemeClr val="accent1">
                  <a:alpha val="70000"/>
                </a:schemeClr>
              </a:solidFill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4'!$A$4:$A$8</c:f>
              <c:strCache>
                <c:ptCount val="4"/>
                <c:pt idx="0">
                  <c:v>About</c:v>
                </c:pt>
                <c:pt idx="1">
                  <c:v>Blog</c:v>
                </c:pt>
                <c:pt idx="2">
                  <c:v>Contact</c:v>
                </c:pt>
                <c:pt idx="3">
                  <c:v>Home</c:v>
                </c:pt>
              </c:strCache>
            </c:strRef>
          </c:cat>
          <c:val>
            <c:numRef>
              <c:f>'Pivot 4'!$B$4:$B$8</c:f>
              <c:numCache>
                <c:formatCode>General</c:formatCode>
                <c:ptCount val="4"/>
                <c:pt idx="0">
                  <c:v>600</c:v>
                </c:pt>
                <c:pt idx="1">
                  <c:v>400</c:v>
                </c:pt>
                <c:pt idx="2">
                  <c:v>300</c:v>
                </c:pt>
                <c:pt idx="3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1-4538-BF77-C6B543645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269"/>
        <c:secondPieSize val="75"/>
        <c:serLines>
          <c:spPr>
            <a:ln w="9525">
              <a:solidFill>
                <a:schemeClr val="accent1">
                  <a:lumMod val="60000"/>
                  <a:lumOff val="40000"/>
                  <a:tint val="50000"/>
                </a:schemeClr>
              </a:solidFill>
              <a:prstDash val="dash"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glow rad="139700">
        <a:schemeClr val="accent1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[Website_Traffic.xlsx]Line 1!PivotTable6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User Growth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'Line 1'!$B$1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1'!$A$2:$A$7</c:f>
              <c:strCache>
                <c:ptCount val="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</c:strCache>
            </c:strRef>
          </c:cat>
          <c:val>
            <c:numRef>
              <c:f>'Line 1'!$B$2:$B$7</c:f>
              <c:numCache>
                <c:formatCode>General</c:formatCode>
                <c:ptCount val="5"/>
                <c:pt idx="0">
                  <c:v>200</c:v>
                </c:pt>
                <c:pt idx="1">
                  <c:v>210</c:v>
                </c:pt>
                <c:pt idx="2">
                  <c:v>260</c:v>
                </c:pt>
                <c:pt idx="3">
                  <c:v>70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3-498A-9403-E3B62A9056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1997425775"/>
        <c:axId val="1997413295"/>
        <c:axId val="0"/>
      </c:area3DChart>
      <c:catAx>
        <c:axId val="199742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13295"/>
        <c:crosses val="autoZero"/>
        <c:auto val="1"/>
        <c:lblAlgn val="ctr"/>
        <c:lblOffset val="100"/>
        <c:noMultiLvlLbl val="0"/>
      </c:catAx>
      <c:valAx>
        <c:axId val="199741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25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glow rad="139700">
        <a:schemeClr val="accent1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[Website_Traffic.xlsx]Col 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Sessions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930284206424108"/>
          <c:y val="0.20991054303088358"/>
          <c:w val="0.71494959596955565"/>
          <c:h val="0.76640286894938237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'Col 2'!$B$3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 2'!$A$4:$A$7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'Col 2'!$B$4:$B$7</c:f>
              <c:numCache>
                <c:formatCode>General</c:formatCode>
                <c:ptCount val="3"/>
                <c:pt idx="0">
                  <c:v>270</c:v>
                </c:pt>
                <c:pt idx="1">
                  <c:v>640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0-4B9B-B50B-3750C44328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shape val="box"/>
        <c:axId val="1912061695"/>
        <c:axId val="1912054495"/>
        <c:axId val="0"/>
      </c:bar3DChart>
      <c:catAx>
        <c:axId val="191206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54495"/>
        <c:crosses val="autoZero"/>
        <c:auto val="1"/>
        <c:lblAlgn val="ctr"/>
        <c:lblOffset val="100"/>
        <c:noMultiLvlLbl val="0"/>
      </c:catAx>
      <c:valAx>
        <c:axId val="191205449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91206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>
      <a:glow rad="101600">
        <a:schemeClr val="accent1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[Website_Traffic.xlsx]Bar 1!PivotTable8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Bounce Rate by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D42-459F-9F7D-EAE077B0007E}"/>
              </c:ext>
            </c:extLst>
          </c:dPt>
          <c:dPt>
            <c:idx val="1"/>
            <c:invertIfNegative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42-459F-9F7D-EAE077B0007E}"/>
              </c:ext>
            </c:extLst>
          </c:dPt>
          <c:dPt>
            <c:idx val="2"/>
            <c:invertIfNegative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D42-459F-9F7D-EAE077B000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1'!$A$4:$A$7</c:f>
              <c:strCache>
                <c:ptCount val="3"/>
                <c:pt idx="0">
                  <c:v>India</c:v>
                </c:pt>
                <c:pt idx="1">
                  <c:v>UK</c:v>
                </c:pt>
                <c:pt idx="2">
                  <c:v>USA</c:v>
                </c:pt>
              </c:strCache>
            </c:strRef>
          </c:cat>
          <c:val>
            <c:numRef>
              <c:f>'Bar 1'!$B$4:$B$7</c:f>
              <c:numCache>
                <c:formatCode>General</c:formatCode>
                <c:ptCount val="3"/>
                <c:pt idx="0">
                  <c:v>720</c:v>
                </c:pt>
                <c:pt idx="1">
                  <c:v>190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C-4000-8993-6B16C1E49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0143872"/>
        <c:axId val="650154912"/>
      </c:barChart>
      <c:catAx>
        <c:axId val="65014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54912"/>
        <c:auto val="1"/>
        <c:lblAlgn val="ctr"/>
        <c:lblOffset val="100"/>
        <c:noMultiLvlLbl val="0"/>
      </c:catAx>
      <c:valAx>
        <c:axId val="6501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43872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glow rad="139700">
        <a:schemeClr val="accent1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[Website_Traffic.xlsx]Bar 2!PivotTable9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Session Duration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5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8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8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5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31900648127677328"/>
          <c:w val="0.67408811452944029"/>
          <c:h val="0.67669050947589593"/>
        </c:manualLayout>
      </c:layout>
      <c:pie3DChart>
        <c:varyColors val="1"/>
        <c:ser>
          <c:idx val="0"/>
          <c:order val="0"/>
          <c:tx>
            <c:strRef>
              <c:f>'Bar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0-0538-4C0F-911C-39F242B3853D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538-4C0F-911C-39F242B3853D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538-4C0F-911C-39F242B3853D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538-4C0F-911C-39F242B3853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0-0538-4C0F-911C-39F242B3853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538-4C0F-911C-39F242B3853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538-4C0F-911C-39F242B3853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538-4C0F-911C-39F242B385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'Bar 2'!$A$4:$A$8</c:f>
              <c:strCache>
                <c:ptCount val="4"/>
                <c:pt idx="0">
                  <c:v>About</c:v>
                </c:pt>
                <c:pt idx="1">
                  <c:v>Blog</c:v>
                </c:pt>
                <c:pt idx="2">
                  <c:v>Contact</c:v>
                </c:pt>
                <c:pt idx="3">
                  <c:v>Home</c:v>
                </c:pt>
              </c:strCache>
            </c:strRef>
          </c:cat>
          <c:val>
            <c:numRef>
              <c:f>'Bar 2'!$B$4:$B$8</c:f>
              <c:numCache>
                <c:formatCode>General</c:formatCode>
                <c:ptCount val="4"/>
                <c:pt idx="0">
                  <c:v>600</c:v>
                </c:pt>
                <c:pt idx="1">
                  <c:v>400</c:v>
                </c:pt>
                <c:pt idx="2">
                  <c:v>300</c:v>
                </c:pt>
                <c:pt idx="3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0-4D45-95C6-1C29384E1C7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1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[Website_Traffic.xlsx]Pivot 1!PivotTable1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Daily User Traffic</a:t>
            </a:r>
            <a:endParaRPr lang="en-US"/>
          </a:p>
        </c:rich>
      </c:tx>
      <c:overlay val="0"/>
      <c:spPr>
        <a:noFill/>
        <a:ln>
          <a:solidFill>
            <a:schemeClr val="accent4">
              <a:alpha val="97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1'!$A$4:$A$9</c:f>
              <c:strCache>
                <c:ptCount val="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</c:strCache>
            </c:strRef>
          </c:cat>
          <c:val>
            <c:numRef>
              <c:f>'Pivot 1'!$B$4:$B$9</c:f>
              <c:numCache>
                <c:formatCode>General</c:formatCode>
                <c:ptCount val="5"/>
                <c:pt idx="0">
                  <c:v>200</c:v>
                </c:pt>
                <c:pt idx="1">
                  <c:v>210</c:v>
                </c:pt>
                <c:pt idx="2">
                  <c:v>260</c:v>
                </c:pt>
                <c:pt idx="3">
                  <c:v>70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1-43BE-B29C-49A5540BF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912073215"/>
        <c:axId val="1912084735"/>
      </c:barChart>
      <c:catAx>
        <c:axId val="191207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84735"/>
        <c:crosses val="autoZero"/>
        <c:auto val="1"/>
        <c:lblAlgn val="ctr"/>
        <c:lblOffset val="100"/>
        <c:noMultiLvlLbl val="0"/>
      </c:catAx>
      <c:valAx>
        <c:axId val="191208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7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glow rad="139700">
        <a:schemeClr val="accent1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[Website_Traffic.xlsx]Bar 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2'!$A$4:$A$8</c:f>
              <c:strCache>
                <c:ptCount val="4"/>
                <c:pt idx="0">
                  <c:v>About</c:v>
                </c:pt>
                <c:pt idx="1">
                  <c:v>Blog</c:v>
                </c:pt>
                <c:pt idx="2">
                  <c:v>Contact</c:v>
                </c:pt>
                <c:pt idx="3">
                  <c:v>Home</c:v>
                </c:pt>
              </c:strCache>
            </c:strRef>
          </c:cat>
          <c:val>
            <c:numRef>
              <c:f>'Bar 2'!$B$4:$B$8</c:f>
              <c:numCache>
                <c:formatCode>General</c:formatCode>
                <c:ptCount val="4"/>
                <c:pt idx="0">
                  <c:v>600</c:v>
                </c:pt>
                <c:pt idx="1">
                  <c:v>400</c:v>
                </c:pt>
                <c:pt idx="2">
                  <c:v>300</c:v>
                </c:pt>
                <c:pt idx="3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8C-4F96-A6D5-D796D1A10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4600927"/>
        <c:axId val="1914602847"/>
      </c:barChart>
      <c:catAx>
        <c:axId val="191460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02847"/>
        <c:crosses val="autoZero"/>
        <c:auto val="1"/>
        <c:lblAlgn val="ctr"/>
        <c:lblOffset val="100"/>
        <c:noMultiLvlLbl val="0"/>
      </c:catAx>
      <c:valAx>
        <c:axId val="191460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0092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3" Type="http://schemas.openxmlformats.org/officeDocument/2006/relationships/chart" Target="../charts/chart10.xml"/><Relationship Id="rId21" Type="http://schemas.openxmlformats.org/officeDocument/2006/relationships/image" Target="../media/image13.png"/><Relationship Id="rId7" Type="http://schemas.openxmlformats.org/officeDocument/2006/relationships/chart" Target="../charts/chart14.xml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" Type="http://schemas.openxmlformats.org/officeDocument/2006/relationships/chart" Target="../charts/chart9.xml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chart" Target="../charts/chart12.xml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chart" Target="../charts/chart11.xml"/><Relationship Id="rId9" Type="http://schemas.openxmlformats.org/officeDocument/2006/relationships/image" Target="../media/image1.png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6</xdr:row>
      <xdr:rowOff>80010</xdr:rowOff>
    </xdr:from>
    <xdr:to>
      <xdr:col>9</xdr:col>
      <xdr:colOff>220980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24CE9-188D-4B7F-3CCF-4DDD2AE0E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731520</xdr:colOff>
      <xdr:row>8</xdr:row>
      <xdr:rowOff>41910</xdr:rowOff>
    </xdr:from>
    <xdr:to>
      <xdr:col>8</xdr:col>
      <xdr:colOff>426720</xdr:colOff>
      <xdr:row>23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D677F-93DF-6307-B41E-B5864DEDF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769620</xdr:colOff>
      <xdr:row>8</xdr:row>
      <xdr:rowOff>171450</xdr:rowOff>
    </xdr:from>
    <xdr:to>
      <xdr:col>9</xdr:col>
      <xdr:colOff>464820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7918-2CB3-E6C2-9583-4A820D463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8</xdr:row>
      <xdr:rowOff>95250</xdr:rowOff>
    </xdr:from>
    <xdr:to>
      <xdr:col>9</xdr:col>
      <xdr:colOff>198120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B2A68-83B8-0CD9-D256-4735606A0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5</xdr:row>
      <xdr:rowOff>129540</xdr:rowOff>
    </xdr:from>
    <xdr:to>
      <xdr:col>10</xdr:col>
      <xdr:colOff>68580</xdr:colOff>
      <xdr:row>20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E1AAA-30F0-3665-385F-A717712C7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2</xdr:row>
      <xdr:rowOff>41910</xdr:rowOff>
    </xdr:from>
    <xdr:to>
      <xdr:col>11</xdr:col>
      <xdr:colOff>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7408DF-7ED7-9C5A-6B0A-3D40A148B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441960</xdr:colOff>
      <xdr:row>8</xdr:row>
      <xdr:rowOff>72390</xdr:rowOff>
    </xdr:from>
    <xdr:to>
      <xdr:col>8</xdr:col>
      <xdr:colOff>571500</xdr:colOff>
      <xdr:row>23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6F0AC-AC1E-137D-049A-BA22FBF45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117630</xdr:colOff>
      <xdr:row>26</xdr:row>
      <xdr:rowOff>3</xdr:rowOff>
    </xdr:from>
    <xdr:to>
      <xdr:col>28</xdr:col>
      <xdr:colOff>140489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CE296-1C74-43D5-B7F8-D353B4238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504464</xdr:colOff>
      <xdr:row>52</xdr:row>
      <xdr:rowOff>85217</xdr:rowOff>
    </xdr:from>
    <xdr:to>
      <xdr:col>18</xdr:col>
      <xdr:colOff>517121</xdr:colOff>
      <xdr:row>67</xdr:row>
      <xdr:rowOff>85217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D0300A-322A-4CE7-9F1C-C8E678B2B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131239</xdr:colOff>
      <xdr:row>52</xdr:row>
      <xdr:rowOff>69046</xdr:rowOff>
    </xdr:from>
    <xdr:to>
      <xdr:col>28</xdr:col>
      <xdr:colOff>143895</xdr:colOff>
      <xdr:row>67</xdr:row>
      <xdr:rowOff>78488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896255-8E97-4A9C-B99C-30379DA16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390769</xdr:colOff>
      <xdr:row>52</xdr:row>
      <xdr:rowOff>42608</xdr:rowOff>
    </xdr:from>
    <xdr:to>
      <xdr:col>38</xdr:col>
      <xdr:colOff>411047</xdr:colOff>
      <xdr:row>67</xdr:row>
      <xdr:rowOff>42609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436F74-3E5C-4E06-A1CF-42A664E45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242082</xdr:colOff>
      <xdr:row>26</xdr:row>
      <xdr:rowOff>42740</xdr:rowOff>
    </xdr:from>
    <xdr:to>
      <xdr:col>38</xdr:col>
      <xdr:colOff>234462</xdr:colOff>
      <xdr:row>41</xdr:row>
      <xdr:rowOff>21945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A3CA02-554A-4645-AA2F-0F5631E20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148243</xdr:colOff>
      <xdr:row>25</xdr:row>
      <xdr:rowOff>114116</xdr:rowOff>
    </xdr:from>
    <xdr:to>
      <xdr:col>48</xdr:col>
      <xdr:colOff>193964</xdr:colOff>
      <xdr:row>40</xdr:row>
      <xdr:rowOff>114114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50E4D7-6926-43BF-89F3-50C5C3812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0</xdr:colOff>
      <xdr:row>52</xdr:row>
      <xdr:rowOff>49508</xdr:rowOff>
    </xdr:from>
    <xdr:to>
      <xdr:col>48</xdr:col>
      <xdr:colOff>590452</xdr:colOff>
      <xdr:row>67</xdr:row>
      <xdr:rowOff>49508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AF8171-942F-4DCC-A5D9-B8996742A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12</xdr:col>
      <xdr:colOff>503990</xdr:colOff>
      <xdr:row>22</xdr:row>
      <xdr:rowOff>133037</xdr:rowOff>
    </xdr:from>
    <xdr:ext cx="874810" cy="422315"/>
    <xdr:sp macro="" textlink="KPI!C2">
      <xdr:nvSpPr>
        <xdr:cNvPr id="13" name="TextBox 12">
          <a:extLst>
            <a:ext uri="{FF2B5EF4-FFF2-40B4-BE49-F238E27FC236}">
              <a16:creationId xmlns:a16="http://schemas.microsoft.com/office/drawing/2014/main" id="{9F71E5E9-ED35-0071-BFB2-49D6C65B51C7}"/>
            </a:ext>
          </a:extLst>
        </xdr:cNvPr>
        <xdr:cNvSpPr txBox="1"/>
      </xdr:nvSpPr>
      <xdr:spPr>
        <a:xfrm>
          <a:off x="7883358" y="4250511"/>
          <a:ext cx="874810" cy="422315"/>
        </a:xfrm>
        <a:prstGeom prst="roundRect">
          <a:avLst/>
        </a:prstGeom>
        <a:ln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b">
          <a:spAutoFit/>
        </a:bodyPr>
        <a:lstStyle/>
        <a:p>
          <a:pPr algn="l"/>
          <a:fld id="{FE67F3B3-9071-4337-AFEF-F4B646FDC7B8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</a:rPr>
            <a:t>1.04K</a:t>
          </a:fld>
          <a:endParaRPr lang="en-US" sz="1600" b="1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22</xdr:col>
      <xdr:colOff>198551</xdr:colOff>
      <xdr:row>22</xdr:row>
      <xdr:rowOff>166658</xdr:rowOff>
    </xdr:from>
    <xdr:ext cx="858918" cy="439831"/>
    <xdr:sp macro="" textlink="KPI!C3">
      <xdr:nvSpPr>
        <xdr:cNvPr id="14" name="TextBox 13">
          <a:extLst>
            <a:ext uri="{FF2B5EF4-FFF2-40B4-BE49-F238E27FC236}">
              <a16:creationId xmlns:a16="http://schemas.microsoft.com/office/drawing/2014/main" id="{7D461E67-0BAC-EE3F-B2EF-67E0AA37D1DB}"/>
            </a:ext>
          </a:extLst>
        </xdr:cNvPr>
        <xdr:cNvSpPr txBox="1"/>
      </xdr:nvSpPr>
      <xdr:spPr>
        <a:xfrm>
          <a:off x="13541327" y="4272127"/>
          <a:ext cx="858918" cy="439831"/>
        </a:xfrm>
        <a:prstGeom prst="roundRect">
          <a:avLst/>
        </a:prstGeom>
        <a:ln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705C1A6A-94EB-444F-AAC7-DDF8F206E657}" type="TxLink">
            <a:rPr lang="en-US" sz="1400" b="0" i="0" u="none" strike="noStrike">
              <a:solidFill>
                <a:srgbClr val="000000"/>
              </a:solidFill>
              <a:latin typeface="Arial Black" panose="020B0A04020102020204" pitchFamily="34" charset="0"/>
            </a:rPr>
            <a:t>1.25K</a:t>
          </a:fld>
          <a:endParaRPr lang="en-IN" sz="1400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12</xdr:col>
      <xdr:colOff>232880</xdr:colOff>
      <xdr:row>48</xdr:row>
      <xdr:rowOff>118013</xdr:rowOff>
    </xdr:from>
    <xdr:ext cx="902305" cy="422315"/>
    <xdr:sp macro="" textlink="KPI!C4">
      <xdr:nvSpPr>
        <xdr:cNvPr id="15" name="TextBox 14">
          <a:extLst>
            <a:ext uri="{FF2B5EF4-FFF2-40B4-BE49-F238E27FC236}">
              <a16:creationId xmlns:a16="http://schemas.microsoft.com/office/drawing/2014/main" id="{69F46AB1-A89F-C5C0-1E20-5109E4CD94EE}"/>
            </a:ext>
          </a:extLst>
        </xdr:cNvPr>
        <xdr:cNvSpPr txBox="1"/>
      </xdr:nvSpPr>
      <xdr:spPr>
        <a:xfrm>
          <a:off x="7548080" y="8763249"/>
          <a:ext cx="902305" cy="422315"/>
        </a:xfrm>
        <a:prstGeom prst="roundRect">
          <a:avLst/>
        </a:prstGeom>
        <a:ln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fld id="{A1D754A2-9D49-4CFE-A465-338F42574160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/>
            <a:t>46.3%</a:t>
          </a:fld>
          <a:endParaRPr lang="en-IN" sz="1600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21</xdr:col>
      <xdr:colOff>517469</xdr:colOff>
      <xdr:row>49</xdr:row>
      <xdr:rowOff>76449</xdr:rowOff>
    </xdr:from>
    <xdr:ext cx="1175443" cy="422315"/>
    <xdr:sp macro="" textlink="KPI!C5">
      <xdr:nvSpPr>
        <xdr:cNvPr id="16" name="TextBox 15">
          <a:extLst>
            <a:ext uri="{FF2B5EF4-FFF2-40B4-BE49-F238E27FC236}">
              <a16:creationId xmlns:a16="http://schemas.microsoft.com/office/drawing/2014/main" id="{EEA22284-5C01-9662-7BC9-80064431F4CF}"/>
            </a:ext>
          </a:extLst>
        </xdr:cNvPr>
        <xdr:cNvSpPr txBox="1"/>
      </xdr:nvSpPr>
      <xdr:spPr>
        <a:xfrm>
          <a:off x="13319069" y="8901794"/>
          <a:ext cx="1175443" cy="422315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fld id="{45DABF79-6C65-4D86-A523-26E048734586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/>
            <a:t>2.98 min</a:t>
          </a:fld>
          <a:endParaRPr lang="en-IN" sz="1600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19</xdr:col>
      <xdr:colOff>73182</xdr:colOff>
      <xdr:row>4</xdr:row>
      <xdr:rowOff>173282</xdr:rowOff>
    </xdr:from>
    <xdr:ext cx="11508153" cy="186368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F99FDC3-B813-BAD8-4C5E-A2C8DADBD7BA}"/>
            </a:ext>
          </a:extLst>
        </xdr:cNvPr>
        <xdr:cNvSpPr txBox="1"/>
      </xdr:nvSpPr>
      <xdr:spPr>
        <a:xfrm>
          <a:off x="11655582" y="893718"/>
          <a:ext cx="11508153" cy="1863685"/>
        </a:xfrm>
        <a:prstGeom prst="horizontalScroll">
          <a:avLst/>
        </a:prstGeom>
        <a:solidFill>
          <a:schemeClr val="tx2">
            <a:lumMod val="75000"/>
            <a:lumOff val="25000"/>
            <a:alpha val="50000"/>
          </a:schemeClr>
        </a:solidFill>
        <a:ln>
          <a:solidFill>
            <a:schemeClr val="tx1"/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000">
              <a:latin typeface="Arial Black" panose="020B0A04020102020204" pitchFamily="34" charset="0"/>
            </a:rPr>
            <a:t>                                     </a:t>
          </a:r>
        </a:p>
        <a:p>
          <a:r>
            <a:rPr lang="en-IN" sz="2000">
              <a:latin typeface="Arial Black" panose="020B0A04020102020204" pitchFamily="34" charset="0"/>
            </a:rPr>
            <a:t>                                      Website Traffic Dashboard</a:t>
          </a:r>
        </a:p>
        <a:p>
          <a:r>
            <a:rPr lang="en-IN" sz="2000">
              <a:latin typeface="Arial Black" panose="020B0A04020102020204" pitchFamily="34" charset="0"/>
            </a:rPr>
            <a:t>                                               (Jan 2025)</a:t>
          </a:r>
        </a:p>
        <a:p>
          <a:endParaRPr lang="en-IN" sz="6600">
            <a:solidFill>
              <a:schemeClr val="accent1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oneCellAnchor>
  <xdr:oneCellAnchor>
    <xdr:from>
      <xdr:col>23</xdr:col>
      <xdr:colOff>146566</xdr:colOff>
      <xdr:row>21</xdr:row>
      <xdr:rowOff>139721</xdr:rowOff>
    </xdr:from>
    <xdr:ext cx="184731" cy="937693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098CE22-A8A1-8B29-A5A8-BCD2528BC68C}"/>
            </a:ext>
          </a:extLst>
        </xdr:cNvPr>
        <xdr:cNvSpPr/>
      </xdr:nvSpPr>
      <xdr:spPr>
        <a:xfrm>
          <a:off x="14107956" y="3936806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IN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23</xdr:col>
      <xdr:colOff>446003</xdr:colOff>
      <xdr:row>15</xdr:row>
      <xdr:rowOff>90229</xdr:rowOff>
    </xdr:from>
    <xdr:ext cx="184731" cy="93769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AEE9718-639B-40A5-BF36-908C0422A49A}"/>
            </a:ext>
          </a:extLst>
        </xdr:cNvPr>
        <xdr:cNvSpPr/>
      </xdr:nvSpPr>
      <xdr:spPr>
        <a:xfrm>
          <a:off x="14543003" y="2823490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IN" sz="5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>
    <xdr:from>
      <xdr:col>11</xdr:col>
      <xdr:colOff>394401</xdr:colOff>
      <xdr:row>26</xdr:row>
      <xdr:rowOff>0</xdr:rowOff>
    </xdr:from>
    <xdr:to>
      <xdr:col>18</xdr:col>
      <xdr:colOff>594424</xdr:colOff>
      <xdr:row>40</xdr:row>
      <xdr:rowOff>155677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BF4C69C-B8FA-45B9-9046-9F56B0691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18</xdr:col>
      <xdr:colOff>0</xdr:colOff>
      <xdr:row>42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69DC000-250C-A62A-372A-2FDEC506094C}"/>
            </a:ext>
          </a:extLst>
        </xdr:cNvPr>
        <xdr:cNvSpPr txBox="1"/>
      </xdr:nvSpPr>
      <xdr:spPr>
        <a:xfrm>
          <a:off x="10878207" y="772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10</xdr:col>
      <xdr:colOff>537680</xdr:colOff>
      <xdr:row>22</xdr:row>
      <xdr:rowOff>0</xdr:rowOff>
    </xdr:from>
    <xdr:to>
      <xdr:col>12</xdr:col>
      <xdr:colOff>232880</xdr:colOff>
      <xdr:row>27</xdr:row>
      <xdr:rowOff>25400</xdr:rowOff>
    </xdr:to>
    <xdr:pic>
      <xdr:nvPicPr>
        <xdr:cNvPr id="27" name="Graphic 26" descr="Users with solid fill">
          <a:extLst>
            <a:ext uri="{FF2B5EF4-FFF2-40B4-BE49-F238E27FC236}">
              <a16:creationId xmlns:a16="http://schemas.microsoft.com/office/drawing/2014/main" id="{657F7DE0-F533-6E3B-4322-69CBE41CB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633680" y="3911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20</xdr:col>
      <xdr:colOff>284412</xdr:colOff>
      <xdr:row>22</xdr:row>
      <xdr:rowOff>87621</xdr:rowOff>
    </xdr:from>
    <xdr:to>
      <xdr:col>21</xdr:col>
      <xdr:colOff>518681</xdr:colOff>
      <xdr:row>27</xdr:row>
      <xdr:rowOff>30945</xdr:rowOff>
    </xdr:to>
    <xdr:pic>
      <xdr:nvPicPr>
        <xdr:cNvPr id="31" name="Graphic 30" descr="Atom with solid fill">
          <a:extLst>
            <a:ext uri="{FF2B5EF4-FFF2-40B4-BE49-F238E27FC236}">
              <a16:creationId xmlns:a16="http://schemas.microsoft.com/office/drawing/2014/main" id="{924FFB06-6337-4D65-BCA5-C9BC4A0EF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476412" y="4050021"/>
          <a:ext cx="843869" cy="843869"/>
        </a:xfrm>
        <a:prstGeom prst="rect">
          <a:avLst/>
        </a:prstGeom>
      </xdr:spPr>
    </xdr:pic>
    <xdr:clientData/>
  </xdr:twoCellAnchor>
  <xdr:twoCellAnchor editAs="oneCell">
    <xdr:from>
      <xdr:col>10</xdr:col>
      <xdr:colOff>429491</xdr:colOff>
      <xdr:row>49</xdr:row>
      <xdr:rowOff>0</xdr:rowOff>
    </xdr:from>
    <xdr:to>
      <xdr:col>12</xdr:col>
      <xdr:colOff>124691</xdr:colOff>
      <xdr:row>54</xdr:row>
      <xdr:rowOff>13854</xdr:rowOff>
    </xdr:to>
    <xdr:pic>
      <xdr:nvPicPr>
        <xdr:cNvPr id="35" name="Graphic 34" descr="Arrow: Clockwise curve with solid fill">
          <a:extLst>
            <a:ext uri="{FF2B5EF4-FFF2-40B4-BE49-F238E27FC236}">
              <a16:creationId xmlns:a16="http://schemas.microsoft.com/office/drawing/2014/main" id="{1CF63283-7F11-9790-44CA-5313BFB2D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525491" y="882534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20</xdr:col>
      <xdr:colOff>277091</xdr:colOff>
      <xdr:row>49</xdr:row>
      <xdr:rowOff>110837</xdr:rowOff>
    </xdr:from>
    <xdr:to>
      <xdr:col>21</xdr:col>
      <xdr:colOff>277091</xdr:colOff>
      <xdr:row>53</xdr:row>
      <xdr:rowOff>0</xdr:rowOff>
    </xdr:to>
    <xdr:pic>
      <xdr:nvPicPr>
        <xdr:cNvPr id="39" name="Graphic 38" descr="Hourglass Finished with solid fill">
          <a:extLst>
            <a:ext uri="{FF2B5EF4-FFF2-40B4-BE49-F238E27FC236}">
              <a16:creationId xmlns:a16="http://schemas.microsoft.com/office/drawing/2014/main" id="{234E8EEC-B557-D39F-5A7F-380EBA9A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2469091" y="8936182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30</xdr:col>
      <xdr:colOff>368066</xdr:colOff>
      <xdr:row>23</xdr:row>
      <xdr:rowOff>107880</xdr:rowOff>
    </xdr:from>
    <xdr:to>
      <xdr:col>31</xdr:col>
      <xdr:colOff>359473</xdr:colOff>
      <xdr:row>26</xdr:row>
      <xdr:rowOff>168560</xdr:rowOff>
    </xdr:to>
    <xdr:pic>
      <xdr:nvPicPr>
        <xdr:cNvPr id="41" name="Graphic 40" descr="Bar graph with upward trend with solid fill">
          <a:extLst>
            <a:ext uri="{FF2B5EF4-FFF2-40B4-BE49-F238E27FC236}">
              <a16:creationId xmlns:a16="http://schemas.microsoft.com/office/drawing/2014/main" id="{D8FD8501-1B7F-1C27-D07C-E3E8025CB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8656066" y="4250389"/>
          <a:ext cx="601007" cy="60100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41</xdr:col>
      <xdr:colOff>183066</xdr:colOff>
      <xdr:row>27</xdr:row>
      <xdr:rowOff>72230</xdr:rowOff>
    </xdr:to>
    <xdr:pic>
      <xdr:nvPicPr>
        <xdr:cNvPr id="45" name="Graphic 44" descr="Globe with solid fill">
          <a:extLst>
            <a:ext uri="{FF2B5EF4-FFF2-40B4-BE49-F238E27FC236}">
              <a16:creationId xmlns:a16="http://schemas.microsoft.com/office/drawing/2014/main" id="{982102C8-80EB-8801-04EA-50BE5B610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4384000" y="4142509"/>
          <a:ext cx="792666" cy="792666"/>
        </a:xfrm>
        <a:prstGeom prst="rect">
          <a:avLst/>
        </a:prstGeom>
      </xdr:spPr>
    </xdr:pic>
    <xdr:clientData/>
  </xdr:twoCellAnchor>
  <xdr:twoCellAnchor editAs="oneCell">
    <xdr:from>
      <xdr:col>40</xdr:col>
      <xdr:colOff>577733</xdr:colOff>
      <xdr:row>50</xdr:row>
      <xdr:rowOff>34759</xdr:rowOff>
    </xdr:from>
    <xdr:to>
      <xdr:col>42</xdr:col>
      <xdr:colOff>224318</xdr:colOff>
      <xdr:row>55</xdr:row>
      <xdr:rowOff>814</xdr:rowOff>
    </xdr:to>
    <xdr:pic>
      <xdr:nvPicPr>
        <xdr:cNvPr id="47" name="Graphic 46" descr="Pie chart with solid fill">
          <a:extLst>
            <a:ext uri="{FF2B5EF4-FFF2-40B4-BE49-F238E27FC236}">
              <a16:creationId xmlns:a16="http://schemas.microsoft.com/office/drawing/2014/main" id="{391ABFFA-7943-2843-8CB0-FADBD25B1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4961733" y="9040214"/>
          <a:ext cx="865785" cy="865785"/>
        </a:xfrm>
        <a:prstGeom prst="rect">
          <a:avLst/>
        </a:prstGeom>
      </xdr:spPr>
    </xdr:pic>
    <xdr:clientData/>
  </xdr:twoCellAnchor>
  <xdr:twoCellAnchor editAs="oneCell">
    <xdr:from>
      <xdr:col>30</xdr:col>
      <xdr:colOff>471054</xdr:colOff>
      <xdr:row>48</xdr:row>
      <xdr:rowOff>110837</xdr:rowOff>
    </xdr:from>
    <xdr:to>
      <xdr:col>32</xdr:col>
      <xdr:colOff>166254</xdr:colOff>
      <xdr:row>53</xdr:row>
      <xdr:rowOff>124691</xdr:rowOff>
    </xdr:to>
    <xdr:pic>
      <xdr:nvPicPr>
        <xdr:cNvPr id="49" name="Graphic 48" descr="Business Growth with solid fill">
          <a:extLst>
            <a:ext uri="{FF2B5EF4-FFF2-40B4-BE49-F238E27FC236}">
              <a16:creationId xmlns:a16="http://schemas.microsoft.com/office/drawing/2014/main" id="{7B0830E6-63C5-3197-2760-59B042AF2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8759054" y="8756073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563880</xdr:colOff>
      <xdr:row>9</xdr:row>
      <xdr:rowOff>11430</xdr:rowOff>
    </xdr:from>
    <xdr:to>
      <xdr:col>9</xdr:col>
      <xdr:colOff>259080</xdr:colOff>
      <xdr:row>24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39ACE-1B53-BA16-57C0-AAA65DBD2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geetha" refreshedDate="46024.656115972219" createdVersion="8" refreshedVersion="8" minRefreshableVersion="3" recordCount="9" xr:uid="{ECA89101-89CD-4FB9-B287-CBE71DB00449}">
  <cacheSource type="worksheet">
    <worksheetSource name="traffic_data"/>
  </cacheSource>
  <cacheFields count="9">
    <cacheField name="date" numFmtId="14">
      <sharedItems containsSemiMixedTypes="0" containsNonDate="0" containsDate="1" containsString="0" minDate="2025-01-01T00:00:00" maxDate="2025-01-06T00:00:00" count="5">
        <d v="2025-01-01T00:00:00"/>
        <d v="2025-01-02T00:00:00"/>
        <d v="2025-01-03T00:00:00"/>
        <d v="2025-01-04T00:00:00"/>
        <d v="2025-01-05T00:00:00"/>
      </sharedItems>
    </cacheField>
    <cacheField name="source" numFmtId="0">
      <sharedItems count="3">
        <s v="Organic"/>
        <s v="Direct"/>
        <s v="Social"/>
      </sharedItems>
    </cacheField>
    <cacheField name="users" numFmtId="0">
      <sharedItems containsSemiMixedTypes="0" containsString="0" containsNumber="1" containsInteger="1" minValue="60" maxValue="200"/>
    </cacheField>
    <cacheField name="sessions" numFmtId="0">
      <sharedItems containsSemiMixedTypes="0" containsString="0" containsNumber="1" containsInteger="1" minValue="75" maxValue="230"/>
    </cacheField>
    <cacheField name="pageviews" numFmtId="0">
      <sharedItems containsSemiMixedTypes="0" containsString="0" containsNumber="1" containsInteger="1" minValue="180" maxValue="700"/>
    </cacheField>
    <cacheField name="bounce_rate" numFmtId="0">
      <sharedItems containsSemiMixedTypes="0" containsString="0" containsNumber="1" containsInteger="1" minValue="38" maxValue="55"/>
    </cacheField>
    <cacheField name="avg_session_duration" numFmtId="0">
      <sharedItems containsSemiMixedTypes="0" containsString="0" containsNumber="1" containsInteger="1" minValue="140" maxValue="220"/>
    </cacheField>
    <cacheField name="country" numFmtId="0">
      <sharedItems count="3">
        <s v="India"/>
        <s v="USA"/>
        <s v="UK"/>
      </sharedItems>
    </cacheField>
    <cacheField name="page" numFmtId="0">
      <sharedItems count="4">
        <s v="Home"/>
        <s v="About"/>
        <s v="Blog"/>
        <s v="Conta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20"/>
    <n v="150"/>
    <n v="450"/>
    <n v="45"/>
    <n v="180"/>
    <x v="0"/>
    <x v="0"/>
  </r>
  <r>
    <x v="0"/>
    <x v="1"/>
    <n v="80"/>
    <n v="100"/>
    <n v="250"/>
    <n v="50"/>
    <n v="160"/>
    <x v="0"/>
    <x v="1"/>
  </r>
  <r>
    <x v="1"/>
    <x v="0"/>
    <n v="150"/>
    <n v="180"/>
    <n v="500"/>
    <n v="42"/>
    <n v="200"/>
    <x v="0"/>
    <x v="0"/>
  </r>
  <r>
    <x v="1"/>
    <x v="2"/>
    <n v="60"/>
    <n v="75"/>
    <n v="180"/>
    <n v="55"/>
    <n v="140"/>
    <x v="1"/>
    <x v="2"/>
  </r>
  <r>
    <x v="2"/>
    <x v="0"/>
    <n v="170"/>
    <n v="200"/>
    <n v="600"/>
    <n v="40"/>
    <n v="210"/>
    <x v="0"/>
    <x v="0"/>
  </r>
  <r>
    <x v="2"/>
    <x v="1"/>
    <n v="90"/>
    <n v="110"/>
    <n v="300"/>
    <n v="48"/>
    <n v="170"/>
    <x v="2"/>
    <x v="3"/>
  </r>
  <r>
    <x v="3"/>
    <x v="2"/>
    <n v="70"/>
    <n v="85"/>
    <n v="220"/>
    <n v="53"/>
    <n v="150"/>
    <x v="1"/>
    <x v="2"/>
  </r>
  <r>
    <x v="4"/>
    <x v="0"/>
    <n v="200"/>
    <n v="230"/>
    <n v="700"/>
    <n v="38"/>
    <n v="220"/>
    <x v="0"/>
    <x v="0"/>
  </r>
  <r>
    <x v="4"/>
    <x v="1"/>
    <n v="100"/>
    <n v="120"/>
    <n v="350"/>
    <n v="46"/>
    <n v="18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70CA4-A29B-4C92-9CC0-AA262D3CA2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9" firstHeaderRow="1" firstDataRow="1" firstDataCol="1"/>
  <pivotFields count="9"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s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7F086-E8B1-4843-941F-8AFFCD43F9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9">
    <pivotField numFmtId="14"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837A1-70DC-4DA4-A1F2-1B9D407BC58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9">
    <pivotField numFmtId="14"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FBBF2-FBD4-4C81-B61A-D25F61814D0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9"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ageviews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A0059-35D6-4CE7-A07F-200CB11D58C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7" firstHeaderRow="1" firstDataRow="1" firstDataCol="1"/>
  <pivotFields count="9"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s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02BAB-A302-46D3-9BE7-FCC5B1E9C71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7" firstHeaderRow="1" firstDataRow="1" firstDataCol="1"/>
  <pivotFields count="9">
    <pivotField numFmtId="14"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55237-572B-412D-A61A-265632955AD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7" firstHeaderRow="1" firstDataRow="1" firstDataCol="1"/>
  <pivotFields count="9">
    <pivotField numFmtId="14"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s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9CDB8-B388-4902-973C-3CA60616936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9"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ageviews" fld="4" baseField="0" baseItem="0"/>
  </dataFields>
  <chartFormats count="6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0D5EE-30C3-482C-9AC5-8087680BBEF7}" name="traffic_data" displayName="traffic_data" ref="A1:I10" totalsRowShown="0">
  <autoFilter ref="A1:I10" xr:uid="{03B0D5EE-30C3-482C-9AC5-8087680BBEF7}"/>
  <tableColumns count="9">
    <tableColumn id="1" xr3:uid="{770B3B76-E6CF-4AAF-98B5-9E5E864302C2}" name="date" dataDxfId="1"/>
    <tableColumn id="2" xr3:uid="{1042573A-AD7B-400E-BBFA-6150C0196484}" name="source"/>
    <tableColumn id="3" xr3:uid="{05440D38-B31D-4070-8775-56810E8CF134}" name="users"/>
    <tableColumn id="4" xr3:uid="{743A6338-6F4D-465F-B614-9950EE680C1A}" name="sessions"/>
    <tableColumn id="5" xr3:uid="{466044FC-20EB-4FAE-8B78-FFF29F76332E}" name="pageviews"/>
    <tableColumn id="6" xr3:uid="{8D2CC7BA-42ED-45B0-ABC5-FC851B82FE0E}" name="bounce_rate"/>
    <tableColumn id="7" xr3:uid="{A1E8748B-280B-4DB8-91A4-3BE9880EECE4}" name="avg_session_duration"/>
    <tableColumn id="8" xr3:uid="{4339230A-047B-4184-8FAC-1565F70E256A}" name="country"/>
    <tableColumn id="9" xr3:uid="{79A6FD87-4B9E-48A0-8BBA-6DBC8F0055C7}" name="p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C8BDFD-5FFD-4733-8AA1-EF797C12B7A6}" name="Table2" displayName="Table2" ref="A1:C5" totalsRowShown="0">
  <autoFilter ref="A1:C5" xr:uid="{F7C8BDFD-5FFD-4733-8AA1-EF797C12B7A6}"/>
  <tableColumns count="3">
    <tableColumn id="1" xr3:uid="{CEB9A30A-3749-4047-B19C-A0B4B968F11B}" name="A"/>
    <tableColumn id="2" xr3:uid="{FE07B4FB-E00D-4900-8536-01BC570B5F5C}" name="B"/>
    <tableColumn id="3" xr3:uid="{920F58F7-A46F-4B75-AA10-94A542E89E08}" name="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0B27-4B56-4CD2-9884-ABD66DFFB1B7}">
  <dimension ref="A3:B9"/>
  <sheetViews>
    <sheetView workbookViewId="0">
      <selection activeCell="I25" sqref="I25"/>
    </sheetView>
  </sheetViews>
  <sheetFormatPr defaultRowHeight="14.4"/>
  <cols>
    <col min="1" max="1" width="12.44140625" bestFit="1" customWidth="1"/>
    <col min="2" max="2" width="11.44140625" bestFit="1" customWidth="1"/>
  </cols>
  <sheetData>
    <row r="3" spans="1:2">
      <c r="A3" s="4" t="s">
        <v>25</v>
      </c>
      <c r="B3" t="s">
        <v>27</v>
      </c>
    </row>
    <row r="4" spans="1:2">
      <c r="A4" s="5">
        <v>45658</v>
      </c>
      <c r="B4">
        <v>200</v>
      </c>
    </row>
    <row r="5" spans="1:2">
      <c r="A5" s="5">
        <v>45659</v>
      </c>
      <c r="B5">
        <v>210</v>
      </c>
    </row>
    <row r="6" spans="1:2">
      <c r="A6" s="5">
        <v>45660</v>
      </c>
      <c r="B6">
        <v>260</v>
      </c>
    </row>
    <row r="7" spans="1:2">
      <c r="A7" s="5">
        <v>45661</v>
      </c>
      <c r="B7">
        <v>70</v>
      </c>
    </row>
    <row r="8" spans="1:2">
      <c r="A8" s="5">
        <v>45662</v>
      </c>
      <c r="B8">
        <v>300</v>
      </c>
    </row>
    <row r="9" spans="1:2">
      <c r="A9" s="5" t="s">
        <v>26</v>
      </c>
      <c r="B9">
        <v>1040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97AE-F1B1-47C3-9CF9-BE66DF40ABE7}">
  <dimension ref="A3:B7"/>
  <sheetViews>
    <sheetView workbookViewId="0">
      <selection activeCell="J10" sqref="J10"/>
    </sheetView>
  </sheetViews>
  <sheetFormatPr defaultRowHeight="14.4"/>
  <cols>
    <col min="1" max="1" width="12.44140625" bestFit="1" customWidth="1"/>
    <col min="2" max="2" width="11.44140625" bestFit="1" customWidth="1"/>
  </cols>
  <sheetData>
    <row r="3" spans="1:2">
      <c r="A3" s="4" t="s">
        <v>25</v>
      </c>
      <c r="B3" t="s">
        <v>27</v>
      </c>
    </row>
    <row r="4" spans="1:2">
      <c r="A4" s="6" t="s">
        <v>12</v>
      </c>
      <c r="B4">
        <v>270</v>
      </c>
    </row>
    <row r="5" spans="1:2">
      <c r="A5" s="6" t="s">
        <v>9</v>
      </c>
      <c r="B5">
        <v>640</v>
      </c>
    </row>
    <row r="6" spans="1:2">
      <c r="A6" s="6" t="s">
        <v>14</v>
      </c>
      <c r="B6">
        <v>130</v>
      </c>
    </row>
    <row r="7" spans="1:2">
      <c r="A7" s="6" t="s">
        <v>26</v>
      </c>
      <c r="B7">
        <v>1040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0EC1-84FB-46E1-A7CA-3472800741B6}">
  <dimension ref="A3:B7"/>
  <sheetViews>
    <sheetView workbookViewId="0">
      <selection activeCell="E27" sqref="E27"/>
    </sheetView>
  </sheetViews>
  <sheetFormatPr defaultRowHeight="14.4"/>
  <cols>
    <col min="1" max="1" width="12.44140625" bestFit="1" customWidth="1"/>
    <col min="2" max="2" width="11.44140625" bestFit="1" customWidth="1"/>
  </cols>
  <sheetData>
    <row r="3" spans="1:2">
      <c r="A3" s="4" t="s">
        <v>25</v>
      </c>
      <c r="B3" t="s">
        <v>27</v>
      </c>
    </row>
    <row r="4" spans="1:2">
      <c r="A4" s="6" t="s">
        <v>10</v>
      </c>
      <c r="B4">
        <v>720</v>
      </c>
    </row>
    <row r="5" spans="1:2">
      <c r="A5" s="6" t="s">
        <v>17</v>
      </c>
      <c r="B5">
        <v>190</v>
      </c>
    </row>
    <row r="6" spans="1:2">
      <c r="A6" s="6" t="s">
        <v>15</v>
      </c>
      <c r="B6">
        <v>130</v>
      </c>
    </row>
    <row r="7" spans="1:2">
      <c r="A7" s="6" t="s">
        <v>26</v>
      </c>
      <c r="B7">
        <v>1040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142C-B61E-4BFF-A8C0-4023653B2339}">
  <dimension ref="A3:B8"/>
  <sheetViews>
    <sheetView workbookViewId="0">
      <selection activeCell="E27" sqref="E27"/>
    </sheetView>
  </sheetViews>
  <sheetFormatPr defaultRowHeight="14.4"/>
  <cols>
    <col min="1" max="1" width="12.44140625" bestFit="1" customWidth="1"/>
    <col min="2" max="2" width="15.77734375" bestFit="1" customWidth="1"/>
  </cols>
  <sheetData>
    <row r="3" spans="1:2">
      <c r="A3" s="4" t="s">
        <v>25</v>
      </c>
      <c r="B3" t="s">
        <v>28</v>
      </c>
    </row>
    <row r="4" spans="1:2">
      <c r="A4" s="6" t="s">
        <v>13</v>
      </c>
      <c r="B4">
        <v>600</v>
      </c>
    </row>
    <row r="5" spans="1:2">
      <c r="A5" s="6" t="s">
        <v>16</v>
      </c>
      <c r="B5">
        <v>400</v>
      </c>
    </row>
    <row r="6" spans="1:2">
      <c r="A6" s="6" t="s">
        <v>18</v>
      </c>
      <c r="B6">
        <v>300</v>
      </c>
    </row>
    <row r="7" spans="1:2">
      <c r="A7" s="6" t="s">
        <v>11</v>
      </c>
      <c r="B7">
        <v>2250</v>
      </c>
    </row>
    <row r="8" spans="1:2">
      <c r="A8" s="6" t="s">
        <v>26</v>
      </c>
      <c r="B8">
        <v>3550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008E-56B5-4813-A209-EDEAA43F0CE8}">
  <dimension ref="A1:B7"/>
  <sheetViews>
    <sheetView topLeftCell="B2" workbookViewId="0">
      <selection activeCell="F3" sqref="F3"/>
    </sheetView>
  </sheetViews>
  <sheetFormatPr defaultRowHeight="14.4"/>
  <cols>
    <col min="1" max="1" width="12.44140625" bestFit="1" customWidth="1"/>
    <col min="2" max="2" width="11.44140625" bestFit="1" customWidth="1"/>
  </cols>
  <sheetData>
    <row r="1" spans="1:2">
      <c r="A1" s="4" t="s">
        <v>25</v>
      </c>
      <c r="B1" t="s">
        <v>27</v>
      </c>
    </row>
    <row r="2" spans="1:2">
      <c r="A2" s="5">
        <v>45658</v>
      </c>
      <c r="B2">
        <v>200</v>
      </c>
    </row>
    <row r="3" spans="1:2">
      <c r="A3" s="5">
        <v>45659</v>
      </c>
      <c r="B3">
        <v>210</v>
      </c>
    </row>
    <row r="4" spans="1:2">
      <c r="A4" s="5">
        <v>45660</v>
      </c>
      <c r="B4">
        <v>260</v>
      </c>
    </row>
    <row r="5" spans="1:2">
      <c r="A5" s="5">
        <v>45661</v>
      </c>
      <c r="B5">
        <v>70</v>
      </c>
    </row>
    <row r="6" spans="1:2">
      <c r="A6" s="5">
        <v>45662</v>
      </c>
      <c r="B6">
        <v>300</v>
      </c>
    </row>
    <row r="7" spans="1:2">
      <c r="A7" s="5" t="s">
        <v>26</v>
      </c>
      <c r="B7">
        <v>1040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8FC7-09B7-45CF-9776-F6E8E60FEDC0}">
  <dimension ref="A3:B7"/>
  <sheetViews>
    <sheetView topLeftCell="A2" workbookViewId="0">
      <selection activeCell="D28" sqref="D28"/>
    </sheetView>
  </sheetViews>
  <sheetFormatPr defaultRowHeight="14.4"/>
  <cols>
    <col min="1" max="1" width="12.44140625" bestFit="1" customWidth="1"/>
    <col min="2" max="2" width="11.44140625" bestFit="1" customWidth="1"/>
  </cols>
  <sheetData>
    <row r="3" spans="1:2">
      <c r="A3" s="4" t="s">
        <v>25</v>
      </c>
      <c r="B3" t="s">
        <v>27</v>
      </c>
    </row>
    <row r="4" spans="1:2">
      <c r="A4" s="6" t="s">
        <v>12</v>
      </c>
      <c r="B4">
        <v>270</v>
      </c>
    </row>
    <row r="5" spans="1:2">
      <c r="A5" s="6" t="s">
        <v>9</v>
      </c>
      <c r="B5">
        <v>640</v>
      </c>
    </row>
    <row r="6" spans="1:2">
      <c r="A6" s="6" t="s">
        <v>14</v>
      </c>
      <c r="B6">
        <v>130</v>
      </c>
    </row>
    <row r="7" spans="1:2">
      <c r="A7" s="6" t="s">
        <v>26</v>
      </c>
      <c r="B7">
        <v>1040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B4EB-B5DA-48F1-947F-D36A39978B76}">
  <dimension ref="A3:B7"/>
  <sheetViews>
    <sheetView workbookViewId="0">
      <selection activeCell="A21" sqref="A21"/>
    </sheetView>
  </sheetViews>
  <sheetFormatPr defaultRowHeight="14.4"/>
  <cols>
    <col min="1" max="1" width="12.44140625" bestFit="1" customWidth="1"/>
    <col min="2" max="2" width="11.44140625" bestFit="1" customWidth="1"/>
  </cols>
  <sheetData>
    <row r="3" spans="1:2">
      <c r="A3" s="4" t="s">
        <v>25</v>
      </c>
      <c r="B3" t="s">
        <v>27</v>
      </c>
    </row>
    <row r="4" spans="1:2">
      <c r="A4" s="6" t="s">
        <v>10</v>
      </c>
      <c r="B4">
        <v>720</v>
      </c>
    </row>
    <row r="5" spans="1:2">
      <c r="A5" s="6" t="s">
        <v>17</v>
      </c>
      <c r="B5">
        <v>190</v>
      </c>
    </row>
    <row r="6" spans="1:2">
      <c r="A6" s="6" t="s">
        <v>15</v>
      </c>
      <c r="B6">
        <v>130</v>
      </c>
    </row>
    <row r="7" spans="1:2">
      <c r="A7" s="6" t="s">
        <v>26</v>
      </c>
      <c r="B7">
        <v>1040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F707-DD52-42EA-9FFE-5199C9A91D59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CFFC-740C-4CEE-BA10-FABFE5C65605}">
  <dimension ref="A1:M15"/>
  <sheetViews>
    <sheetView showGridLines="0" tabSelected="1" topLeftCell="AM16" zoomScale="51" zoomScaleNormal="19" workbookViewId="0">
      <selection activeCell="AR49" sqref="AR49"/>
    </sheetView>
  </sheetViews>
  <sheetFormatPr defaultRowHeight="14.4"/>
  <cols>
    <col min="21" max="21" width="8.88671875" customWidth="1"/>
  </cols>
  <sheetData>
    <row r="1" spans="1:13">
      <c r="A1" s="3"/>
    </row>
    <row r="2" spans="1:13">
      <c r="A2" s="3"/>
    </row>
    <row r="14" spans="1:13">
      <c r="M14" s="3"/>
    </row>
    <row r="15" spans="1:13">
      <c r="M15" s="7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5524-0FD3-4924-9DE8-C29285B2F120}">
  <dimension ref="A3:B8"/>
  <sheetViews>
    <sheetView workbookViewId="0">
      <selection activeCell="D5" sqref="D5"/>
    </sheetView>
  </sheetViews>
  <sheetFormatPr defaultRowHeight="14.4"/>
  <cols>
    <col min="1" max="1" width="12.44140625" bestFit="1" customWidth="1"/>
    <col min="2" max="2" width="15.77734375" bestFit="1" customWidth="1"/>
  </cols>
  <sheetData>
    <row r="3" spans="1:2">
      <c r="A3" s="4" t="s">
        <v>25</v>
      </c>
      <c r="B3" t="s">
        <v>28</v>
      </c>
    </row>
    <row r="4" spans="1:2">
      <c r="A4" s="6" t="s">
        <v>13</v>
      </c>
      <c r="B4">
        <v>600</v>
      </c>
    </row>
    <row r="5" spans="1:2">
      <c r="A5" s="6" t="s">
        <v>16</v>
      </c>
      <c r="B5">
        <v>400</v>
      </c>
    </row>
    <row r="6" spans="1:2">
      <c r="A6" s="6" t="s">
        <v>18</v>
      </c>
      <c r="B6">
        <v>300</v>
      </c>
    </row>
    <row r="7" spans="1:2">
      <c r="A7" s="6" t="s">
        <v>11</v>
      </c>
      <c r="B7">
        <v>2250</v>
      </c>
    </row>
    <row r="8" spans="1:2">
      <c r="A8" s="6" t="s">
        <v>26</v>
      </c>
      <c r="B8">
        <v>3550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7337-5C30-4AF9-898C-7A7326891394}">
  <dimension ref="A1:I10"/>
  <sheetViews>
    <sheetView workbookViewId="0">
      <selection sqref="A1:XFD1048576"/>
    </sheetView>
  </sheetViews>
  <sheetFormatPr defaultRowHeight="14.4"/>
  <cols>
    <col min="1" max="1" width="10.33203125" bestFit="1" customWidth="1"/>
    <col min="4" max="4" width="10" customWidth="1"/>
    <col min="5" max="5" width="11.5546875" customWidth="1"/>
    <col min="6" max="6" width="13.109375" customWidth="1"/>
    <col min="7" max="7" width="20.44140625" customWidth="1"/>
    <col min="8" max="8" width="9.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45658</v>
      </c>
      <c r="B2" t="s">
        <v>9</v>
      </c>
      <c r="C2">
        <v>120</v>
      </c>
      <c r="D2">
        <v>150</v>
      </c>
      <c r="E2">
        <v>450</v>
      </c>
      <c r="F2">
        <v>45</v>
      </c>
      <c r="G2">
        <v>180</v>
      </c>
      <c r="H2" t="s">
        <v>10</v>
      </c>
      <c r="I2" t="s">
        <v>11</v>
      </c>
    </row>
    <row r="3" spans="1:9">
      <c r="A3" s="1">
        <v>45658</v>
      </c>
      <c r="B3" t="s">
        <v>12</v>
      </c>
      <c r="C3">
        <v>80</v>
      </c>
      <c r="D3">
        <v>100</v>
      </c>
      <c r="E3">
        <v>250</v>
      </c>
      <c r="F3">
        <v>50</v>
      </c>
      <c r="G3">
        <v>160</v>
      </c>
      <c r="H3" t="s">
        <v>10</v>
      </c>
      <c r="I3" t="s">
        <v>13</v>
      </c>
    </row>
    <row r="4" spans="1:9">
      <c r="A4" s="1">
        <v>45659</v>
      </c>
      <c r="B4" t="s">
        <v>9</v>
      </c>
      <c r="C4">
        <v>150</v>
      </c>
      <c r="D4">
        <v>180</v>
      </c>
      <c r="E4">
        <v>500</v>
      </c>
      <c r="F4">
        <v>42</v>
      </c>
      <c r="G4">
        <v>200</v>
      </c>
      <c r="H4" t="s">
        <v>10</v>
      </c>
      <c r="I4" t="s">
        <v>11</v>
      </c>
    </row>
    <row r="5" spans="1:9">
      <c r="A5" s="1">
        <v>45659</v>
      </c>
      <c r="B5" t="s">
        <v>14</v>
      </c>
      <c r="C5">
        <v>60</v>
      </c>
      <c r="D5">
        <v>75</v>
      </c>
      <c r="E5">
        <v>180</v>
      </c>
      <c r="F5">
        <v>55</v>
      </c>
      <c r="G5">
        <v>140</v>
      </c>
      <c r="H5" t="s">
        <v>15</v>
      </c>
      <c r="I5" t="s">
        <v>16</v>
      </c>
    </row>
    <row r="6" spans="1:9">
      <c r="A6" s="1">
        <v>45660</v>
      </c>
      <c r="B6" t="s">
        <v>9</v>
      </c>
      <c r="C6">
        <v>170</v>
      </c>
      <c r="D6">
        <v>200</v>
      </c>
      <c r="E6">
        <v>600</v>
      </c>
      <c r="F6">
        <v>40</v>
      </c>
      <c r="G6">
        <v>210</v>
      </c>
      <c r="H6" t="s">
        <v>10</v>
      </c>
      <c r="I6" t="s">
        <v>11</v>
      </c>
    </row>
    <row r="7" spans="1:9">
      <c r="A7" s="1">
        <v>45660</v>
      </c>
      <c r="B7" t="s">
        <v>12</v>
      </c>
      <c r="C7">
        <v>90</v>
      </c>
      <c r="D7">
        <v>110</v>
      </c>
      <c r="E7">
        <v>300</v>
      </c>
      <c r="F7">
        <v>48</v>
      </c>
      <c r="G7">
        <v>170</v>
      </c>
      <c r="H7" t="s">
        <v>17</v>
      </c>
      <c r="I7" t="s">
        <v>18</v>
      </c>
    </row>
    <row r="8" spans="1:9">
      <c r="A8" s="1">
        <v>45661</v>
      </c>
      <c r="B8" t="s">
        <v>14</v>
      </c>
      <c r="C8">
        <v>70</v>
      </c>
      <c r="D8">
        <v>85</v>
      </c>
      <c r="E8">
        <v>220</v>
      </c>
      <c r="F8">
        <v>53</v>
      </c>
      <c r="G8">
        <v>150</v>
      </c>
      <c r="H8" t="s">
        <v>15</v>
      </c>
      <c r="I8" t="s">
        <v>16</v>
      </c>
    </row>
    <row r="9" spans="1:9">
      <c r="A9" s="1">
        <v>45662</v>
      </c>
      <c r="B9" t="s">
        <v>9</v>
      </c>
      <c r="C9">
        <v>200</v>
      </c>
      <c r="D9">
        <v>230</v>
      </c>
      <c r="E9">
        <v>700</v>
      </c>
      <c r="F9">
        <v>38</v>
      </c>
      <c r="G9">
        <v>220</v>
      </c>
      <c r="H9" t="s">
        <v>10</v>
      </c>
      <c r="I9" t="s">
        <v>11</v>
      </c>
    </row>
    <row r="10" spans="1:9">
      <c r="A10" s="1">
        <v>45662</v>
      </c>
      <c r="B10" t="s">
        <v>12</v>
      </c>
      <c r="C10">
        <v>100</v>
      </c>
      <c r="D10">
        <v>120</v>
      </c>
      <c r="E10">
        <v>350</v>
      </c>
      <c r="F10">
        <v>46</v>
      </c>
      <c r="G10">
        <v>180</v>
      </c>
      <c r="H10" t="s">
        <v>17</v>
      </c>
      <c r="I10" t="s">
        <v>13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EAAF-C28E-4C18-8375-26F94F4C26EB}">
  <dimension ref="A1:E99"/>
  <sheetViews>
    <sheetView workbookViewId="0">
      <selection activeCell="F19" sqref="F19"/>
    </sheetView>
  </sheetViews>
  <sheetFormatPr defaultRowHeight="14.4"/>
  <sheetData>
    <row r="1" spans="1:4">
      <c r="A1" t="s">
        <v>23</v>
      </c>
      <c r="B1" s="2" t="s">
        <v>24</v>
      </c>
      <c r="C1" t="s">
        <v>29</v>
      </c>
    </row>
    <row r="2" spans="1:4">
      <c r="A2" t="s">
        <v>19</v>
      </c>
      <c r="B2">
        <f>SUM(traffic_data[users])</f>
        <v>1040</v>
      </c>
      <c r="C2" t="str">
        <f>ROUND(B2/1000,2)&amp;"K"</f>
        <v>1.04K</v>
      </c>
    </row>
    <row r="3" spans="1:4">
      <c r="A3" t="s">
        <v>20</v>
      </c>
      <c r="B3">
        <f>SUM(traffic_data[sessions])</f>
        <v>1250</v>
      </c>
      <c r="C3" t="str">
        <f>ROUND(B3/1000,2)&amp;"K"</f>
        <v>1.25K</v>
      </c>
    </row>
    <row r="4" spans="1:4">
      <c r="A4" t="s">
        <v>22</v>
      </c>
      <c r="B4">
        <f>AVERAGE(traffic_data[bounce_rate])</f>
        <v>46.333333333333336</v>
      </c>
      <c r="C4" t="str">
        <f>ROUND(B4,1)&amp;"%"</f>
        <v>46.3%</v>
      </c>
    </row>
    <row r="5" spans="1:4">
      <c r="A5" t="s">
        <v>21</v>
      </c>
      <c r="B5">
        <f>AVERAGE(traffic_data[avg_session_duration])</f>
        <v>178.88888888888889</v>
      </c>
      <c r="C5" t="str">
        <f>ROUND(B5/60,2)&amp;" min"</f>
        <v>2.98 min</v>
      </c>
    </row>
    <row r="12" spans="1:4" ht="23.4">
      <c r="C12" s="10"/>
    </row>
    <row r="14" spans="1:4" ht="18">
      <c r="C14" s="11"/>
    </row>
    <row r="16" spans="1:4">
      <c r="C16" s="12"/>
      <c r="D16" s="12"/>
    </row>
    <row r="17" spans="3:4">
      <c r="C17" s="3"/>
      <c r="D17" s="13"/>
    </row>
    <row r="18" spans="3:4">
      <c r="C18" s="3"/>
      <c r="D18" s="13"/>
    </row>
    <row r="19" spans="3:4">
      <c r="C19" s="3"/>
      <c r="D19" s="14"/>
    </row>
    <row r="20" spans="3:4">
      <c r="C20" s="3"/>
      <c r="D20" s="13"/>
    </row>
    <row r="24" spans="3:4">
      <c r="C24" s="2"/>
    </row>
    <row r="26" spans="3:4">
      <c r="C26" s="12"/>
      <c r="D26" s="12"/>
    </row>
    <row r="27" spans="3:4">
      <c r="C27" s="3"/>
      <c r="D27" s="7"/>
    </row>
    <row r="28" spans="3:4">
      <c r="C28" s="3"/>
      <c r="D28" s="7"/>
    </row>
    <row r="29" spans="3:4">
      <c r="C29" s="3"/>
      <c r="D29" s="7"/>
    </row>
    <row r="32" spans="3:4" ht="18">
      <c r="C32" s="11"/>
    </row>
    <row r="34" spans="3:4">
      <c r="C34" s="12"/>
      <c r="D34" s="12"/>
    </row>
    <row r="35" spans="3:4">
      <c r="C35" s="3"/>
      <c r="D35" s="13"/>
    </row>
    <row r="36" spans="3:4">
      <c r="C36" s="3"/>
      <c r="D36" s="13"/>
    </row>
    <row r="37" spans="3:4">
      <c r="C37" s="3"/>
      <c r="D37" s="13"/>
    </row>
    <row r="38" spans="3:4">
      <c r="C38" s="3"/>
      <c r="D38" s="13"/>
    </row>
    <row r="44" spans="3:4" ht="18">
      <c r="C44" s="11"/>
    </row>
    <row r="48" spans="3:4">
      <c r="C48" s="12"/>
      <c r="D48" s="12"/>
    </row>
    <row r="49" spans="3:4">
      <c r="C49" s="3"/>
      <c r="D49" s="13"/>
    </row>
    <row r="50" spans="3:4">
      <c r="C50" s="3"/>
      <c r="D50" s="13"/>
    </row>
    <row r="51" spans="3:4">
      <c r="C51" s="3"/>
      <c r="D51" s="13"/>
    </row>
    <row r="52" spans="3:4">
      <c r="C52" s="3"/>
      <c r="D52" s="13"/>
    </row>
    <row r="55" spans="3:4" ht="18">
      <c r="C55" s="11"/>
    </row>
    <row r="58" spans="3:4">
      <c r="C58" s="9"/>
    </row>
    <row r="59" spans="3:4">
      <c r="C59" s="15"/>
    </row>
    <row r="60" spans="3:4">
      <c r="C60" s="15"/>
    </row>
    <row r="66" spans="3:3" ht="18">
      <c r="C66" s="11"/>
    </row>
    <row r="69" spans="3:3">
      <c r="C69" s="8"/>
    </row>
    <row r="70" spans="3:3">
      <c r="C70" s="8"/>
    </row>
    <row r="71" spans="3:3">
      <c r="C71" s="8"/>
    </row>
    <row r="72" spans="3:3">
      <c r="C72" s="8"/>
    </row>
    <row r="78" spans="3:3" ht="23.4">
      <c r="C78" s="10"/>
    </row>
    <row r="82" spans="3:5">
      <c r="C82" s="12"/>
      <c r="D82" s="12"/>
    </row>
    <row r="83" spans="3:5">
      <c r="C83" s="3"/>
      <c r="D83" s="13"/>
    </row>
    <row r="84" spans="3:5">
      <c r="C84" s="3"/>
      <c r="D84" s="13"/>
    </row>
    <row r="85" spans="3:5">
      <c r="C85" s="3"/>
      <c r="D85" s="14"/>
    </row>
    <row r="86" spans="3:5">
      <c r="C86" s="3"/>
      <c r="D86" s="13"/>
    </row>
    <row r="92" spans="3:5" ht="23.4">
      <c r="C92" s="10"/>
    </row>
    <row r="96" spans="3:5">
      <c r="E96" cm="1">
        <f t="array" aca="1" ref="E96" ca="1">C2:E96</f>
        <v>0</v>
      </c>
    </row>
    <row r="98" spans="3:3">
      <c r="C98" s="12"/>
    </row>
    <row r="99" spans="3:3">
      <c r="C99" s="3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Pivot 1</vt:lpstr>
      <vt:lpstr>Pivot 2</vt:lpstr>
      <vt:lpstr>Pivot 3</vt:lpstr>
      <vt:lpstr>Pivot 4</vt:lpstr>
      <vt:lpstr>Line 1</vt:lpstr>
      <vt:lpstr>Col 2</vt:lpstr>
      <vt:lpstr>Bar 1</vt:lpstr>
      <vt:lpstr>Sheet1</vt:lpstr>
      <vt:lpstr>Dashboard</vt:lpstr>
      <vt:lpstr>Bar 2</vt:lpstr>
      <vt:lpstr>traffic_data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</dc:creator>
  <cp:lastModifiedBy>geethageetha00319@gmail.com</cp:lastModifiedBy>
  <dcterms:created xsi:type="dcterms:W3CDTF">2026-01-02T09:48:35Z</dcterms:created>
  <dcterms:modified xsi:type="dcterms:W3CDTF">2026-01-06T04:05:16Z</dcterms:modified>
</cp:coreProperties>
</file>